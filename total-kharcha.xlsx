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6502-series\"/>
    </mc:Choice>
  </mc:AlternateContent>
  <xr:revisionPtr revIDLastSave="0" documentId="13_ncr:1_{0BE80EF6-BBD7-4FC0-9E8B-DDF3AF6A0793}" xr6:coauthVersionLast="36" xr6:coauthVersionMax="36" xr10:uidLastSave="{00000000-0000-0000-0000-000000000000}"/>
  <bookViews>
    <workbookView xWindow="0" yWindow="0" windowWidth="20490" windowHeight="7545" xr2:uid="{BBC14CF9-AE7D-4820-AE7A-94E8742D0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1" l="1"/>
  <c r="H67" i="1" l="1"/>
  <c r="H66" i="1"/>
  <c r="H65" i="1"/>
  <c r="H61" i="1" l="1"/>
  <c r="H60" i="1"/>
  <c r="H59" i="1"/>
  <c r="H58" i="1"/>
  <c r="H57" i="1"/>
  <c r="H56" i="1"/>
  <c r="H55" i="1"/>
  <c r="H54" i="1"/>
  <c r="H62" i="1" s="1"/>
  <c r="H33" i="1" l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32" i="1"/>
  <c r="H28" i="1"/>
  <c r="H27" i="1"/>
  <c r="H26" i="1"/>
  <c r="H25" i="1"/>
  <c r="H24" i="1"/>
  <c r="H20" i="1"/>
  <c r="H16" i="1"/>
  <c r="H19" i="1"/>
  <c r="H18" i="1"/>
  <c r="H17" i="1"/>
  <c r="H21" i="1" l="1"/>
  <c r="H51" i="1"/>
  <c r="H29" i="1"/>
  <c r="H8" i="1"/>
  <c r="H9" i="1"/>
  <c r="H10" i="1"/>
  <c r="H11" i="1"/>
  <c r="H7" i="1"/>
  <c r="H13" i="1" l="1"/>
</calcChain>
</file>

<file path=xl/sharedStrings.xml><?xml version="1.0" encoding="utf-8"?>
<sst xmlns="http://schemas.openxmlformats.org/spreadsheetml/2006/main" count="64" uniqueCount="54">
  <si>
    <t>Total Kharcha on Electronics</t>
  </si>
  <si>
    <t>Robo.pk</t>
  </si>
  <si>
    <t>5mm LED, Pack of 50</t>
  </si>
  <si>
    <t>Mini breadboard 170 points</t>
  </si>
  <si>
    <t>Arduino Uno R3 DIP</t>
  </si>
  <si>
    <t>Male to male jumper 40 pins (20cm cables)</t>
  </si>
  <si>
    <t>Breadboard MB102 830 points</t>
  </si>
  <si>
    <t>ITEM</t>
  </si>
  <si>
    <t>QTY</t>
  </si>
  <si>
    <t>UNIT</t>
  </si>
  <si>
    <t>PRICE</t>
  </si>
  <si>
    <t>TOTAL</t>
  </si>
  <si>
    <t>Shipping</t>
  </si>
  <si>
    <t>Daraz.pk</t>
  </si>
  <si>
    <t>Shipping + Item price (refund received in account)</t>
  </si>
  <si>
    <t>1 pcs/lot Mos 6502 MOS6502A MOS6502 MOS-6502 DIP-40</t>
  </si>
  <si>
    <t>5PCS 40 Pin Single Row Male Header 2.54mm Breakable</t>
  </si>
  <si>
    <t>5 pcs/lot HM62256ALP-10 HM62256BLP-8 HM62256LP-10 HM62256ALP-12 HM62256 HM62256ALP HM62256A</t>
  </si>
  <si>
    <t>1 pcs/lot 6522 MOS6522 MOS-6522 = SY6522 DIP-40 In Stock</t>
  </si>
  <si>
    <t>Shipping+COD Handling</t>
  </si>
  <si>
    <t>It was actually CMOS not the original NMOS as mentioned</t>
  </si>
  <si>
    <t>Spark Electronix</t>
  </si>
  <si>
    <t>Blue LCD1602 (16 x 2)</t>
  </si>
  <si>
    <t>74HC595</t>
  </si>
  <si>
    <t>74HC08</t>
  </si>
  <si>
    <t>74HC00</t>
  </si>
  <si>
    <t>Other Miscellaneous Items (Resistors, Capacitors, Potentiometers, Soldering, …)</t>
  </si>
  <si>
    <t>Axis Electronics</t>
  </si>
  <si>
    <t>M/M 30cm 26AWG solderless ribbon cable</t>
  </si>
  <si>
    <t>74HC86</t>
  </si>
  <si>
    <t>74HC02</t>
  </si>
  <si>
    <t>74HC14</t>
  </si>
  <si>
    <t>ICL7660CPA</t>
  </si>
  <si>
    <t>74HC32</t>
  </si>
  <si>
    <t>TL082 OP AMP</t>
  </si>
  <si>
    <t>74HC138</t>
  </si>
  <si>
    <t>AT28C256</t>
  </si>
  <si>
    <t>105C POTENTIOMETER PCB MOUNT</t>
  </si>
  <si>
    <t>1uF 50V Capacitor</t>
  </si>
  <si>
    <t>10uF 16V Capacitor</t>
  </si>
  <si>
    <t>100nF Capacitor</t>
  </si>
  <si>
    <t>74HC4050</t>
  </si>
  <si>
    <t>1.8Kohm Resistor</t>
  </si>
  <si>
    <t>3.3Kohm Resistor</t>
  </si>
  <si>
    <t>STM32F411CEU6 Blackpill</t>
  </si>
  <si>
    <t>Electronation</t>
  </si>
  <si>
    <t>ST LinkV2</t>
  </si>
  <si>
    <t>Solder bit</t>
  </si>
  <si>
    <t>47uF Electrolytic Capacitor</t>
  </si>
  <si>
    <t>10nF Ceramic Capacitor</t>
  </si>
  <si>
    <t>Solder wire</t>
  </si>
  <si>
    <t>Solder Flux</t>
  </si>
  <si>
    <t>DIP IC Sockets</t>
  </si>
  <si>
    <t>Solder bit (RETURN)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</si>
</sst>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s-420]\ * #,##0.00_-;\-[$Rs-420]\ * #,##0.00_-;_-[$Rs-420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92D050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6E6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5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/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0" fillId="0" borderId="1" xfId="0" applyBorder="1"/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9" fillId="7" borderId="12" xfId="0" applyNumberFormat="1" applyFont="1" applyFill="1" applyBorder="1" applyAlignment="1">
      <alignment horizontal="center" vertical="center"/>
    </xf>
    <xf numFmtId="164" fontId="9" fillId="7" borderId="13" xfId="0" applyNumberFormat="1" applyFont="1" applyFill="1" applyBorder="1" applyAlignment="1">
      <alignment horizontal="center" vertical="center"/>
    </xf>
    <xf numFmtId="164" fontId="9" fillId="7" borderId="14" xfId="0" applyNumberFormat="1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7" fillId="5" borderId="2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8" fillId="6" borderId="0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6E6E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FF3E-49C0-4820-85B9-C6E8BE155202}">
  <sheetPr codeName="Sheet1"/>
  <dimension ref="A1:XFD67"/>
  <sheetViews>
    <sheetView tabSelected="1" topLeftCell="A64" zoomScaleNormal="100" workbookViewId="0">
      <selection activeCell="I72" sqref="I72"/>
    </sheetView>
  </sheetViews>
  <sheetFormatPr defaultRowHeight="15" x14ac:dyDescent="0.25"/>
  <cols>
    <col min="9" max="9" width="19.42578125" bestFit="1" customWidth="1"/>
  </cols>
  <sheetData>
    <row r="1" spans="1:16384" ht="15" customHeight="1" x14ac:dyDescent="0.25">
      <c r="A1" s="49" t="s">
        <v>0</v>
      </c>
      <c r="B1" s="49"/>
      <c r="C1" s="49"/>
      <c r="D1" s="49"/>
      <c r="E1" s="49"/>
      <c r="F1" s="49"/>
      <c r="G1" s="49"/>
      <c r="H1" s="50"/>
      <c r="I1" s="25">
        <f>SUM(H13,H21,H29,H51,H62,H67)</f>
        <v>12803</v>
      </c>
    </row>
    <row r="2" spans="1:16384" ht="15" customHeight="1" x14ac:dyDescent="0.25">
      <c r="A2" s="49"/>
      <c r="B2" s="49"/>
      <c r="C2" s="49"/>
      <c r="D2" s="49"/>
      <c r="E2" s="49"/>
      <c r="F2" s="49"/>
      <c r="G2" s="49"/>
      <c r="H2" s="50"/>
      <c r="I2" s="26"/>
    </row>
    <row r="3" spans="1:16384" ht="15" customHeight="1" thickBot="1" x14ac:dyDescent="0.3">
      <c r="A3" s="49"/>
      <c r="B3" s="49"/>
      <c r="C3" s="49"/>
      <c r="D3" s="49"/>
      <c r="E3" s="49"/>
      <c r="F3" s="49"/>
      <c r="G3" s="49"/>
      <c r="H3" s="50"/>
      <c r="I3" s="27"/>
    </row>
    <row r="4" spans="1:16384" ht="21" customHeight="1" x14ac:dyDescent="0.25">
      <c r="A4" s="51" t="s">
        <v>7</v>
      </c>
      <c r="B4" s="51"/>
      <c r="C4" s="51"/>
      <c r="D4" s="51"/>
      <c r="E4" s="51"/>
      <c r="F4" s="1" t="s">
        <v>8</v>
      </c>
      <c r="G4" s="1" t="s">
        <v>9</v>
      </c>
      <c r="H4" s="1" t="s">
        <v>10</v>
      </c>
    </row>
    <row r="5" spans="1:16384" ht="15" customHeight="1" x14ac:dyDescent="0.25">
      <c r="A5" s="14" t="s">
        <v>1</v>
      </c>
      <c r="B5" s="14"/>
      <c r="C5" s="14"/>
      <c r="D5" s="14"/>
      <c r="E5" s="14"/>
      <c r="F5" s="14"/>
      <c r="G5" s="14"/>
      <c r="H5" s="14"/>
    </row>
    <row r="6" spans="1:16384" ht="21" customHeight="1" x14ac:dyDescent="0.25">
      <c r="A6" s="14"/>
      <c r="B6" s="14"/>
      <c r="C6" s="14"/>
      <c r="D6" s="14"/>
      <c r="E6" s="14"/>
      <c r="F6" s="14"/>
      <c r="G6" s="14"/>
      <c r="H6" s="14"/>
    </row>
    <row r="7" spans="1:16384" x14ac:dyDescent="0.25">
      <c r="A7" s="13" t="s">
        <v>2</v>
      </c>
      <c r="B7" s="13"/>
      <c r="C7" s="13"/>
      <c r="D7" s="13"/>
      <c r="E7" s="13"/>
      <c r="F7" s="2">
        <v>1</v>
      </c>
      <c r="G7" s="2">
        <v>150</v>
      </c>
      <c r="H7" s="2">
        <f>G7*F7</f>
        <v>150</v>
      </c>
    </row>
    <row r="8" spans="1:16384" x14ac:dyDescent="0.25">
      <c r="A8" s="13" t="s">
        <v>3</v>
      </c>
      <c r="B8" s="13"/>
      <c r="C8" s="13"/>
      <c r="D8" s="13"/>
      <c r="E8" s="13"/>
      <c r="F8" s="2">
        <v>1</v>
      </c>
      <c r="G8" s="2">
        <v>100</v>
      </c>
      <c r="H8" s="2">
        <f t="shared" ref="H8:H10" si="0">G8*F8</f>
        <v>100</v>
      </c>
    </row>
    <row r="9" spans="1:16384" x14ac:dyDescent="0.25">
      <c r="A9" s="13" t="s">
        <v>4</v>
      </c>
      <c r="B9" s="13"/>
      <c r="C9" s="13"/>
      <c r="D9" s="13"/>
      <c r="E9" s="13"/>
      <c r="F9" s="2">
        <v>1</v>
      </c>
      <c r="G9" s="2">
        <v>1500</v>
      </c>
      <c r="H9" s="2">
        <f t="shared" si="0"/>
        <v>1500</v>
      </c>
    </row>
    <row r="10" spans="1:16384" x14ac:dyDescent="0.25">
      <c r="A10" s="48" t="s">
        <v>5</v>
      </c>
      <c r="B10" s="48"/>
      <c r="C10" s="48"/>
      <c r="D10" s="48"/>
      <c r="E10" s="48"/>
      <c r="F10" s="2">
        <v>1</v>
      </c>
      <c r="G10" s="2">
        <v>170</v>
      </c>
      <c r="H10" s="2">
        <f t="shared" si="0"/>
        <v>170</v>
      </c>
    </row>
    <row r="11" spans="1:16384" x14ac:dyDescent="0.25">
      <c r="A11" s="48" t="s">
        <v>6</v>
      </c>
      <c r="B11" s="48"/>
      <c r="C11" s="48"/>
      <c r="D11" s="48"/>
      <c r="E11" s="48"/>
      <c r="F11" s="2">
        <v>3</v>
      </c>
      <c r="G11" s="2">
        <v>250</v>
      </c>
      <c r="H11" s="2">
        <f>G11*F11</f>
        <v>750</v>
      </c>
    </row>
    <row r="12" spans="1:16384" ht="18" customHeight="1" x14ac:dyDescent="0.25">
      <c r="A12" s="52" t="s">
        <v>12</v>
      </c>
      <c r="B12" s="53"/>
      <c r="C12" s="53"/>
      <c r="D12" s="53"/>
      <c r="E12" s="53"/>
      <c r="F12" s="53"/>
      <c r="G12" s="54"/>
      <c r="H12" s="3">
        <v>200</v>
      </c>
    </row>
    <row r="13" spans="1:16384" ht="20.25" customHeight="1" x14ac:dyDescent="0.25">
      <c r="A13" s="10" t="s">
        <v>11</v>
      </c>
      <c r="B13" s="11"/>
      <c r="C13" s="11"/>
      <c r="D13" s="11"/>
      <c r="E13" s="11"/>
      <c r="F13" s="11"/>
      <c r="G13" s="12"/>
      <c r="H13" s="8">
        <f>SUM(H7:H12)</f>
        <v>2870</v>
      </c>
    </row>
    <row r="14" spans="1:16384" ht="15" customHeight="1" x14ac:dyDescent="0.25">
      <c r="A14" s="14" t="s">
        <v>13</v>
      </c>
      <c r="B14" s="14"/>
      <c r="C14" s="14"/>
      <c r="D14" s="14"/>
      <c r="E14" s="14"/>
      <c r="F14" s="14"/>
      <c r="G14" s="14"/>
      <c r="H14" s="14"/>
    </row>
    <row r="15" spans="1:16384" x14ac:dyDescent="0.25">
      <c r="A15" s="14"/>
      <c r="B15" s="14"/>
      <c r="C15" s="14"/>
      <c r="D15" s="14"/>
      <c r="E15" s="14"/>
      <c r="F15" s="14"/>
      <c r="G15" s="14"/>
      <c r="H15" s="14"/>
    </row>
    <row r="16" spans="1:16384" ht="30.75" customHeight="1" x14ac:dyDescent="0.25">
      <c r="A16" s="43" t="s">
        <v>16</v>
      </c>
      <c r="B16" s="44"/>
      <c r="C16" s="44"/>
      <c r="D16" s="44"/>
      <c r="E16" s="45"/>
      <c r="F16" s="5">
        <v>1</v>
      </c>
      <c r="G16" s="5">
        <v>277</v>
      </c>
      <c r="H16" s="5">
        <f>G16*F16</f>
        <v>277</v>
      </c>
      <c r="I16" s="40" t="s">
        <v>14</v>
      </c>
      <c r="J16" s="41"/>
      <c r="K16" s="41"/>
      <c r="L16" s="41"/>
      <c r="M16" s="4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  <c r="XFD16" s="6"/>
    </row>
    <row r="17" spans="1:14" ht="30.75" customHeight="1" x14ac:dyDescent="0.25">
      <c r="A17" s="46" t="s">
        <v>15</v>
      </c>
      <c r="B17" s="46"/>
      <c r="C17" s="46"/>
      <c r="D17" s="46"/>
      <c r="E17" s="46"/>
      <c r="F17" s="2">
        <v>1</v>
      </c>
      <c r="G17" s="2">
        <v>720</v>
      </c>
      <c r="H17" s="2">
        <f t="shared" ref="H17:H19" si="1">G17*F17</f>
        <v>720</v>
      </c>
      <c r="I17" s="40" t="s">
        <v>20</v>
      </c>
      <c r="J17" s="42"/>
      <c r="K17" s="42"/>
      <c r="L17" s="42"/>
      <c r="M17" s="42"/>
      <c r="N17" s="42"/>
    </row>
    <row r="18" spans="1:14" ht="46.15" customHeight="1" x14ac:dyDescent="0.25">
      <c r="A18" s="43" t="s">
        <v>17</v>
      </c>
      <c r="B18" s="44"/>
      <c r="C18" s="44"/>
      <c r="D18" s="44"/>
      <c r="E18" s="45"/>
      <c r="F18" s="2">
        <v>1</v>
      </c>
      <c r="G18" s="2">
        <v>785</v>
      </c>
      <c r="H18" s="7">
        <f t="shared" si="1"/>
        <v>785</v>
      </c>
    </row>
    <row r="19" spans="1:14" s="6" customFormat="1" ht="30.75" customHeight="1" x14ac:dyDescent="0.25">
      <c r="A19" s="47" t="s">
        <v>18</v>
      </c>
      <c r="B19" s="47"/>
      <c r="C19" s="47"/>
      <c r="D19" s="47"/>
      <c r="E19" s="47"/>
      <c r="F19" s="5">
        <v>1</v>
      </c>
      <c r="G19" s="5">
        <v>421</v>
      </c>
      <c r="H19" s="5">
        <f t="shared" si="1"/>
        <v>421</v>
      </c>
    </row>
    <row r="20" spans="1:14" ht="18" customHeight="1" x14ac:dyDescent="0.25">
      <c r="A20" s="34" t="s">
        <v>19</v>
      </c>
      <c r="B20" s="35"/>
      <c r="C20" s="35"/>
      <c r="D20" s="35"/>
      <c r="E20" s="35"/>
      <c r="F20" s="35"/>
      <c r="G20" s="36"/>
      <c r="H20" s="3">
        <f>130+100</f>
        <v>230</v>
      </c>
    </row>
    <row r="21" spans="1:14" ht="20.25" customHeight="1" x14ac:dyDescent="0.25">
      <c r="A21" s="37" t="s">
        <v>11</v>
      </c>
      <c r="B21" s="38"/>
      <c r="C21" s="38"/>
      <c r="D21" s="38"/>
      <c r="E21" s="38"/>
      <c r="F21" s="38"/>
      <c r="G21" s="39"/>
      <c r="H21" s="8">
        <f>SUM(H16:H20)</f>
        <v>2433</v>
      </c>
    </row>
    <row r="22" spans="1:14" ht="15" customHeight="1" x14ac:dyDescent="0.25">
      <c r="A22" s="16" t="s">
        <v>21</v>
      </c>
      <c r="B22" s="17"/>
      <c r="C22" s="17"/>
      <c r="D22" s="17"/>
      <c r="E22" s="17"/>
      <c r="F22" s="17"/>
      <c r="G22" s="17"/>
      <c r="H22" s="18"/>
    </row>
    <row r="23" spans="1:14" ht="15" customHeight="1" x14ac:dyDescent="0.25">
      <c r="A23" s="19"/>
      <c r="B23" s="20"/>
      <c r="C23" s="20"/>
      <c r="D23" s="20"/>
      <c r="E23" s="20"/>
      <c r="F23" s="20"/>
      <c r="G23" s="20"/>
      <c r="H23" s="21"/>
    </row>
    <row r="24" spans="1:14" x14ac:dyDescent="0.25">
      <c r="A24" s="22" t="s">
        <v>22</v>
      </c>
      <c r="B24" s="23"/>
      <c r="C24" s="23"/>
      <c r="D24" s="23"/>
      <c r="E24" s="24"/>
      <c r="F24" s="2">
        <v>1</v>
      </c>
      <c r="G24" s="2">
        <v>450</v>
      </c>
      <c r="H24" s="2">
        <f>G24*F24</f>
        <v>450</v>
      </c>
    </row>
    <row r="25" spans="1:14" x14ac:dyDescent="0.25">
      <c r="A25" s="22" t="s">
        <v>23</v>
      </c>
      <c r="B25" s="23"/>
      <c r="C25" s="23"/>
      <c r="D25" s="23"/>
      <c r="E25" s="24"/>
      <c r="F25" s="2">
        <v>3</v>
      </c>
      <c r="G25" s="2">
        <v>40</v>
      </c>
      <c r="H25" s="2">
        <f t="shared" ref="H25:H27" si="2">G25*F25</f>
        <v>120</v>
      </c>
    </row>
    <row r="26" spans="1:14" x14ac:dyDescent="0.25">
      <c r="A26" s="22" t="s">
        <v>25</v>
      </c>
      <c r="B26" s="23"/>
      <c r="C26" s="23"/>
      <c r="D26" s="23"/>
      <c r="E26" s="24"/>
      <c r="F26" s="2">
        <v>2</v>
      </c>
      <c r="G26" s="2">
        <v>30</v>
      </c>
      <c r="H26" s="2">
        <f t="shared" si="2"/>
        <v>60</v>
      </c>
    </row>
    <row r="27" spans="1:14" x14ac:dyDescent="0.25">
      <c r="A27" s="28" t="s">
        <v>24</v>
      </c>
      <c r="B27" s="29"/>
      <c r="C27" s="29"/>
      <c r="D27" s="29"/>
      <c r="E27" s="30"/>
      <c r="F27" s="2">
        <v>2</v>
      </c>
      <c r="G27" s="2">
        <v>30</v>
      </c>
      <c r="H27" s="2">
        <f t="shared" si="2"/>
        <v>60</v>
      </c>
    </row>
    <row r="28" spans="1:14" ht="33" customHeight="1" x14ac:dyDescent="0.25">
      <c r="A28" s="31" t="s">
        <v>26</v>
      </c>
      <c r="B28" s="32"/>
      <c r="C28" s="32"/>
      <c r="D28" s="32"/>
      <c r="E28" s="33"/>
      <c r="F28" s="2">
        <v>1</v>
      </c>
      <c r="G28" s="2">
        <v>600</v>
      </c>
      <c r="H28" s="2">
        <f>G28*F28</f>
        <v>600</v>
      </c>
    </row>
    <row r="29" spans="1:14" ht="20.25" customHeight="1" x14ac:dyDescent="0.25">
      <c r="A29" s="10" t="s">
        <v>11</v>
      </c>
      <c r="B29" s="11"/>
      <c r="C29" s="11"/>
      <c r="D29" s="11"/>
      <c r="E29" s="11"/>
      <c r="F29" s="11"/>
      <c r="G29" s="12"/>
      <c r="H29" s="8">
        <f>SUM(H24:H28)</f>
        <v>1290</v>
      </c>
    </row>
    <row r="30" spans="1:14" x14ac:dyDescent="0.25">
      <c r="A30" s="16" t="s">
        <v>27</v>
      </c>
      <c r="B30" s="17"/>
      <c r="C30" s="17"/>
      <c r="D30" s="17"/>
      <c r="E30" s="17"/>
      <c r="F30" s="17"/>
      <c r="G30" s="17"/>
      <c r="H30" s="18"/>
    </row>
    <row r="31" spans="1:14" x14ac:dyDescent="0.25">
      <c r="A31" s="19"/>
      <c r="B31" s="20"/>
      <c r="C31" s="20"/>
      <c r="D31" s="20"/>
      <c r="E31" s="20"/>
      <c r="F31" s="20"/>
      <c r="G31" s="20"/>
      <c r="H31" s="21"/>
    </row>
    <row r="32" spans="1:14" x14ac:dyDescent="0.25">
      <c r="A32" s="22" t="s">
        <v>6</v>
      </c>
      <c r="B32" s="23"/>
      <c r="C32" s="23"/>
      <c r="D32" s="23"/>
      <c r="E32" s="24"/>
      <c r="F32" s="2">
        <v>1</v>
      </c>
      <c r="G32" s="2">
        <v>300</v>
      </c>
      <c r="H32" s="2">
        <f>G32*F32</f>
        <v>300</v>
      </c>
    </row>
    <row r="33" spans="1:8" x14ac:dyDescent="0.25">
      <c r="A33" s="22" t="s">
        <v>28</v>
      </c>
      <c r="B33" s="23"/>
      <c r="C33" s="23"/>
      <c r="D33" s="23"/>
      <c r="E33" s="24"/>
      <c r="F33" s="2">
        <v>40</v>
      </c>
      <c r="G33" s="2">
        <v>10</v>
      </c>
      <c r="H33" s="2">
        <f t="shared" ref="H33:H50" si="3">G33*F33</f>
        <v>400</v>
      </c>
    </row>
    <row r="34" spans="1:8" x14ac:dyDescent="0.25">
      <c r="A34" s="22" t="s">
        <v>29</v>
      </c>
      <c r="B34" s="23"/>
      <c r="C34" s="23"/>
      <c r="D34" s="23"/>
      <c r="E34" s="24"/>
      <c r="F34" s="2">
        <v>2</v>
      </c>
      <c r="G34" s="2">
        <v>85</v>
      </c>
      <c r="H34" s="2">
        <f t="shared" si="3"/>
        <v>170</v>
      </c>
    </row>
    <row r="35" spans="1:8" x14ac:dyDescent="0.25">
      <c r="A35" s="22" t="s">
        <v>30</v>
      </c>
      <c r="B35" s="23"/>
      <c r="C35" s="23"/>
      <c r="D35" s="23"/>
      <c r="E35" s="24"/>
      <c r="F35" s="2">
        <v>2</v>
      </c>
      <c r="G35" s="2">
        <v>85</v>
      </c>
      <c r="H35" s="2">
        <f t="shared" si="3"/>
        <v>170</v>
      </c>
    </row>
    <row r="36" spans="1:8" x14ac:dyDescent="0.25">
      <c r="A36" s="22" t="s">
        <v>31</v>
      </c>
      <c r="B36" s="23"/>
      <c r="C36" s="23"/>
      <c r="D36" s="23"/>
      <c r="E36" s="24"/>
      <c r="F36" s="2">
        <v>2</v>
      </c>
      <c r="G36" s="2">
        <v>85</v>
      </c>
      <c r="H36" s="2">
        <f t="shared" si="3"/>
        <v>170</v>
      </c>
    </row>
    <row r="37" spans="1:8" x14ac:dyDescent="0.25">
      <c r="A37" s="22" t="s">
        <v>32</v>
      </c>
      <c r="B37" s="23"/>
      <c r="C37" s="23"/>
      <c r="D37" s="23"/>
      <c r="E37" s="24"/>
      <c r="F37" s="2">
        <v>1</v>
      </c>
      <c r="G37" s="2">
        <v>200</v>
      </c>
      <c r="H37" s="2">
        <f t="shared" si="3"/>
        <v>200</v>
      </c>
    </row>
    <row r="38" spans="1:8" x14ac:dyDescent="0.25">
      <c r="A38" s="13" t="s">
        <v>24</v>
      </c>
      <c r="B38" s="13"/>
      <c r="C38" s="13"/>
      <c r="D38" s="13"/>
      <c r="E38" s="13"/>
      <c r="F38" s="2">
        <v>2</v>
      </c>
      <c r="G38" s="2">
        <v>85</v>
      </c>
      <c r="H38" s="2">
        <f t="shared" si="3"/>
        <v>170</v>
      </c>
    </row>
    <row r="39" spans="1:8" x14ac:dyDescent="0.25">
      <c r="A39" s="13" t="s">
        <v>33</v>
      </c>
      <c r="B39" s="13"/>
      <c r="C39" s="13"/>
      <c r="D39" s="13"/>
      <c r="E39" s="13"/>
      <c r="F39" s="2">
        <v>2</v>
      </c>
      <c r="G39" s="2">
        <v>85</v>
      </c>
      <c r="H39" s="2">
        <f t="shared" si="3"/>
        <v>170</v>
      </c>
    </row>
    <row r="40" spans="1:8" x14ac:dyDescent="0.25">
      <c r="A40" s="13" t="s">
        <v>34</v>
      </c>
      <c r="B40" s="13"/>
      <c r="C40" s="13"/>
      <c r="D40" s="13"/>
      <c r="E40" s="13"/>
      <c r="F40" s="2">
        <v>4</v>
      </c>
      <c r="G40" s="2">
        <v>75</v>
      </c>
      <c r="H40" s="2">
        <f t="shared" si="3"/>
        <v>300</v>
      </c>
    </row>
    <row r="41" spans="1:8" x14ac:dyDescent="0.25">
      <c r="A41" s="15" t="s">
        <v>35</v>
      </c>
      <c r="B41" s="15"/>
      <c r="C41" s="15"/>
      <c r="D41" s="15"/>
      <c r="E41" s="15"/>
      <c r="F41" s="2">
        <v>2</v>
      </c>
      <c r="G41" s="2">
        <v>85</v>
      </c>
      <c r="H41" s="2">
        <f t="shared" si="3"/>
        <v>170</v>
      </c>
    </row>
    <row r="42" spans="1:8" x14ac:dyDescent="0.25">
      <c r="A42" s="15" t="s">
        <v>36</v>
      </c>
      <c r="B42" s="15"/>
      <c r="C42" s="15"/>
      <c r="D42" s="15"/>
      <c r="E42" s="15"/>
      <c r="F42" s="2">
        <v>1</v>
      </c>
      <c r="G42" s="2">
        <v>500</v>
      </c>
      <c r="H42" s="2">
        <f t="shared" si="3"/>
        <v>500</v>
      </c>
    </row>
    <row r="43" spans="1:8" x14ac:dyDescent="0.25">
      <c r="A43" s="15" t="s">
        <v>37</v>
      </c>
      <c r="B43" s="15"/>
      <c r="C43" s="15"/>
      <c r="D43" s="15"/>
      <c r="E43" s="15"/>
      <c r="F43" s="2">
        <v>1</v>
      </c>
      <c r="G43" s="2">
        <v>50</v>
      </c>
      <c r="H43" s="2">
        <f t="shared" si="3"/>
        <v>50</v>
      </c>
    </row>
    <row r="44" spans="1:8" x14ac:dyDescent="0.25">
      <c r="A44" s="15" t="s">
        <v>38</v>
      </c>
      <c r="B44" s="15"/>
      <c r="C44" s="15"/>
      <c r="D44" s="15"/>
      <c r="E44" s="15"/>
      <c r="F44" s="2">
        <v>5</v>
      </c>
      <c r="G44" s="2">
        <v>10</v>
      </c>
      <c r="H44" s="2">
        <f t="shared" si="3"/>
        <v>50</v>
      </c>
    </row>
    <row r="45" spans="1:8" x14ac:dyDescent="0.25">
      <c r="A45" s="15" t="s">
        <v>39</v>
      </c>
      <c r="B45" s="15"/>
      <c r="C45" s="15"/>
      <c r="D45" s="15"/>
      <c r="E45" s="15"/>
      <c r="F45" s="2">
        <v>5</v>
      </c>
      <c r="G45" s="2">
        <v>10</v>
      </c>
      <c r="H45" s="2">
        <f t="shared" si="3"/>
        <v>50</v>
      </c>
    </row>
    <row r="46" spans="1:8" x14ac:dyDescent="0.25">
      <c r="A46" s="15" t="s">
        <v>40</v>
      </c>
      <c r="B46" s="15"/>
      <c r="C46" s="15"/>
      <c r="D46" s="15"/>
      <c r="E46" s="15"/>
      <c r="F46" s="2">
        <v>5</v>
      </c>
      <c r="G46" s="2">
        <v>10</v>
      </c>
      <c r="H46" s="2">
        <f t="shared" si="3"/>
        <v>50</v>
      </c>
    </row>
    <row r="47" spans="1:8" x14ac:dyDescent="0.25">
      <c r="A47" s="15" t="s">
        <v>41</v>
      </c>
      <c r="B47" s="15"/>
      <c r="C47" s="15"/>
      <c r="D47" s="15"/>
      <c r="E47" s="15"/>
      <c r="F47" s="2">
        <v>1</v>
      </c>
      <c r="G47" s="2">
        <v>150</v>
      </c>
      <c r="H47" s="2">
        <f t="shared" si="3"/>
        <v>150</v>
      </c>
    </row>
    <row r="48" spans="1:8" x14ac:dyDescent="0.25">
      <c r="A48" s="15" t="s">
        <v>42</v>
      </c>
      <c r="B48" s="15"/>
      <c r="C48" s="15"/>
      <c r="D48" s="15"/>
      <c r="E48" s="15"/>
      <c r="F48" s="2">
        <v>20</v>
      </c>
      <c r="G48" s="2">
        <v>2</v>
      </c>
      <c r="H48" s="2">
        <f t="shared" si="3"/>
        <v>40</v>
      </c>
    </row>
    <row r="49" spans="1:8" x14ac:dyDescent="0.25">
      <c r="A49" s="15" t="s">
        <v>43</v>
      </c>
      <c r="B49" s="15"/>
      <c r="C49" s="15"/>
      <c r="D49" s="15"/>
      <c r="E49" s="15"/>
      <c r="F49" s="2">
        <v>20</v>
      </c>
      <c r="G49" s="2">
        <v>2</v>
      </c>
      <c r="H49" s="2">
        <f t="shared" si="3"/>
        <v>40</v>
      </c>
    </row>
    <row r="50" spans="1:8" x14ac:dyDescent="0.25">
      <c r="A50" s="15" t="s">
        <v>44</v>
      </c>
      <c r="B50" s="15"/>
      <c r="C50" s="15"/>
      <c r="D50" s="15"/>
      <c r="E50" s="15"/>
      <c r="F50" s="2">
        <v>1</v>
      </c>
      <c r="G50" s="2">
        <v>1500</v>
      </c>
      <c r="H50" s="2">
        <f t="shared" si="3"/>
        <v>1500</v>
      </c>
    </row>
    <row r="51" spans="1:8" ht="20.25" customHeight="1" x14ac:dyDescent="0.25">
      <c r="A51" s="10" t="s">
        <v>11</v>
      </c>
      <c r="B51" s="11"/>
      <c r="C51" s="11"/>
      <c r="D51" s="11"/>
      <c r="E51" s="11"/>
      <c r="F51" s="11"/>
      <c r="G51" s="12"/>
      <c r="H51" s="8">
        <f>SUM(H32:H50)</f>
        <v>4650</v>
      </c>
    </row>
    <row r="52" spans="1:8" x14ac:dyDescent="0.25">
      <c r="A52" s="14" t="s">
        <v>45</v>
      </c>
      <c r="B52" s="14"/>
      <c r="C52" s="14"/>
      <c r="D52" s="14"/>
      <c r="E52" s="14"/>
      <c r="F52" s="14"/>
      <c r="G52" s="14"/>
      <c r="H52" s="14"/>
    </row>
    <row r="53" spans="1:8" x14ac:dyDescent="0.25">
      <c r="A53" s="14"/>
      <c r="B53" s="14"/>
      <c r="C53" s="14"/>
      <c r="D53" s="14"/>
      <c r="E53" s="14"/>
      <c r="F53" s="14"/>
      <c r="G53" s="14"/>
      <c r="H53" s="14"/>
    </row>
    <row r="54" spans="1:8" x14ac:dyDescent="0.25">
      <c r="A54" s="13" t="s">
        <v>46</v>
      </c>
      <c r="B54" s="13"/>
      <c r="C54" s="13"/>
      <c r="D54" s="13"/>
      <c r="E54" s="13"/>
      <c r="F54" s="4">
        <v>1</v>
      </c>
      <c r="G54" s="4">
        <v>700</v>
      </c>
      <c r="H54" s="4">
        <f>G54*F54</f>
        <v>700</v>
      </c>
    </row>
    <row r="55" spans="1:8" x14ac:dyDescent="0.25">
      <c r="A55" s="13" t="s">
        <v>47</v>
      </c>
      <c r="B55" s="13"/>
      <c r="C55" s="13"/>
      <c r="D55" s="13"/>
      <c r="E55" s="13"/>
      <c r="F55" s="4">
        <v>1</v>
      </c>
      <c r="G55" s="4">
        <v>180</v>
      </c>
      <c r="H55" s="4">
        <f t="shared" ref="H55:H57" si="4">G55*F55</f>
        <v>180</v>
      </c>
    </row>
    <row r="56" spans="1:8" x14ac:dyDescent="0.25">
      <c r="A56" s="13" t="s">
        <v>48</v>
      </c>
      <c r="B56" s="13"/>
      <c r="C56" s="13"/>
      <c r="D56" s="13"/>
      <c r="E56" s="13"/>
      <c r="F56" s="4">
        <v>5</v>
      </c>
      <c r="G56" s="4">
        <v>5</v>
      </c>
      <c r="H56" s="4">
        <f t="shared" si="4"/>
        <v>25</v>
      </c>
    </row>
    <row r="57" spans="1:8" x14ac:dyDescent="0.25">
      <c r="A57" s="48" t="s">
        <v>49</v>
      </c>
      <c r="B57" s="48"/>
      <c r="C57" s="48"/>
      <c r="D57" s="48"/>
      <c r="E57" s="48"/>
      <c r="F57" s="4">
        <v>5</v>
      </c>
      <c r="G57" s="4">
        <v>5</v>
      </c>
      <c r="H57" s="4">
        <f t="shared" si="4"/>
        <v>25</v>
      </c>
    </row>
    <row r="58" spans="1:8" x14ac:dyDescent="0.25">
      <c r="A58" s="48" t="s">
        <v>50</v>
      </c>
      <c r="B58" s="48"/>
      <c r="C58" s="48"/>
      <c r="D58" s="48"/>
      <c r="E58" s="48"/>
      <c r="F58" s="4">
        <v>1</v>
      </c>
      <c r="G58" s="4">
        <v>20</v>
      </c>
      <c r="H58" s="4">
        <f>G58*F58</f>
        <v>20</v>
      </c>
    </row>
    <row r="59" spans="1:8" x14ac:dyDescent="0.25">
      <c r="A59" s="28" t="s">
        <v>51</v>
      </c>
      <c r="B59" s="29"/>
      <c r="C59" s="29"/>
      <c r="D59" s="29"/>
      <c r="E59" s="30"/>
      <c r="F59" s="4">
        <v>1</v>
      </c>
      <c r="G59" s="4">
        <v>40</v>
      </c>
      <c r="H59" s="4">
        <f>G59*F59</f>
        <v>40</v>
      </c>
    </row>
    <row r="60" spans="1:8" x14ac:dyDescent="0.25">
      <c r="A60" s="28" t="s">
        <v>32</v>
      </c>
      <c r="B60" s="29"/>
      <c r="C60" s="29"/>
      <c r="D60" s="29"/>
      <c r="E60" s="30"/>
      <c r="F60" s="4">
        <v>1</v>
      </c>
      <c r="G60" s="4">
        <v>150</v>
      </c>
      <c r="H60" s="4">
        <f>G60*F60</f>
        <v>150</v>
      </c>
    </row>
    <row r="61" spans="1:8" x14ac:dyDescent="0.25">
      <c r="A61" s="28" t="s">
        <v>52</v>
      </c>
      <c r="B61" s="29"/>
      <c r="C61" s="29"/>
      <c r="D61" s="29"/>
      <c r="E61" s="30"/>
      <c r="F61" s="4">
        <v>2</v>
      </c>
      <c r="G61" s="4">
        <v>50</v>
      </c>
      <c r="H61" s="4">
        <f>G61*F61</f>
        <v>100</v>
      </c>
    </row>
    <row r="62" spans="1:8" ht="20.25" customHeight="1" x14ac:dyDescent="0.25">
      <c r="A62" s="10" t="s">
        <v>11</v>
      </c>
      <c r="B62" s="11"/>
      <c r="C62" s="11"/>
      <c r="D62" s="11"/>
      <c r="E62" s="11"/>
      <c r="F62" s="11"/>
      <c r="G62" s="12"/>
      <c r="H62" s="8">
        <f>SUM(H54:H61)</f>
        <v>1240</v>
      </c>
    </row>
    <row r="63" spans="1:8" x14ac:dyDescent="0.25">
      <c r="A63" s="14" t="s">
        <v>45</v>
      </c>
      <c r="B63" s="14"/>
      <c r="C63" s="14"/>
      <c r="D63" s="14"/>
      <c r="E63" s="14"/>
      <c r="F63" s="14"/>
      <c r="G63" s="14"/>
      <c r="H63" s="14"/>
    </row>
    <row r="64" spans="1:8" x14ac:dyDescent="0.25">
      <c r="A64" s="14"/>
      <c r="B64" s="14"/>
      <c r="C64" s="14"/>
      <c r="D64" s="14"/>
      <c r="E64" s="14"/>
      <c r="F64" s="14"/>
      <c r="G64" s="14"/>
      <c r="H64" s="14"/>
    </row>
    <row r="65" spans="1:8" x14ac:dyDescent="0.25">
      <c r="A65" s="13" t="s">
        <v>6</v>
      </c>
      <c r="B65" s="13"/>
      <c r="C65" s="13"/>
      <c r="D65" s="13"/>
      <c r="E65" s="13"/>
      <c r="F65" s="9">
        <v>2</v>
      </c>
      <c r="G65" s="9">
        <v>250</v>
      </c>
      <c r="H65" s="9">
        <f>G65*F65</f>
        <v>500</v>
      </c>
    </row>
    <row r="66" spans="1:8" x14ac:dyDescent="0.25">
      <c r="A66" s="13" t="s">
        <v>53</v>
      </c>
      <c r="B66" s="13"/>
      <c r="C66" s="13"/>
      <c r="D66" s="13"/>
      <c r="E66" s="13"/>
      <c r="F66" s="9">
        <v>1</v>
      </c>
      <c r="G66" s="9">
        <v>-180</v>
      </c>
      <c r="H66" s="9">
        <f>G66*F66</f>
        <v>-180</v>
      </c>
    </row>
    <row r="67" spans="1:8" ht="15.75" x14ac:dyDescent="0.25">
      <c r="A67" s="10" t="s">
        <v>11</v>
      </c>
      <c r="B67" s="11"/>
      <c r="C67" s="11"/>
      <c r="D67" s="11"/>
      <c r="E67" s="11"/>
      <c r="F67" s="11"/>
      <c r="G67" s="12"/>
      <c r="H67" s="8">
        <f>SUM(H65:H66)</f>
        <v>320</v>
      </c>
    </row>
  </sheetData>
  <mergeCells count="62">
    <mergeCell ref="A59:E59"/>
    <mergeCell ref="A60:E60"/>
    <mergeCell ref="A61:E61"/>
    <mergeCell ref="A41:E41"/>
    <mergeCell ref="A43:E43"/>
    <mergeCell ref="A45:E45"/>
    <mergeCell ref="A38:E38"/>
    <mergeCell ref="A56:E56"/>
    <mergeCell ref="A17:E17"/>
    <mergeCell ref="A18:E18"/>
    <mergeCell ref="A19:E19"/>
    <mergeCell ref="A10:E10"/>
    <mergeCell ref="A1:H3"/>
    <mergeCell ref="A5:H6"/>
    <mergeCell ref="A11:E11"/>
    <mergeCell ref="A4:E4"/>
    <mergeCell ref="A7:E7"/>
    <mergeCell ref="A8:E8"/>
    <mergeCell ref="A9:E9"/>
    <mergeCell ref="A12:G12"/>
    <mergeCell ref="A13:G13"/>
    <mergeCell ref="A40:E40"/>
    <mergeCell ref="A42:E42"/>
    <mergeCell ref="I1:I3"/>
    <mergeCell ref="A44:E44"/>
    <mergeCell ref="A24:E24"/>
    <mergeCell ref="A25:E25"/>
    <mergeCell ref="A26:E26"/>
    <mergeCell ref="A27:E27"/>
    <mergeCell ref="A28:E28"/>
    <mergeCell ref="A20:G20"/>
    <mergeCell ref="A21:G21"/>
    <mergeCell ref="I16:M16"/>
    <mergeCell ref="I17:N17"/>
    <mergeCell ref="A22:H23"/>
    <mergeCell ref="A14:H15"/>
    <mergeCell ref="A16:E16"/>
    <mergeCell ref="A29:G29"/>
    <mergeCell ref="A30:H31"/>
    <mergeCell ref="A32:E32"/>
    <mergeCell ref="A33:E33"/>
    <mergeCell ref="A39:E39"/>
    <mergeCell ref="A34:E34"/>
    <mergeCell ref="A35:E35"/>
    <mergeCell ref="A36:E36"/>
    <mergeCell ref="A37:E37"/>
    <mergeCell ref="A67:G67"/>
    <mergeCell ref="A66:E66"/>
    <mergeCell ref="A63:H64"/>
    <mergeCell ref="A65:E65"/>
    <mergeCell ref="A46:E46"/>
    <mergeCell ref="A48:E48"/>
    <mergeCell ref="A49:E49"/>
    <mergeCell ref="A52:H53"/>
    <mergeCell ref="A54:E54"/>
    <mergeCell ref="A55:E55"/>
    <mergeCell ref="A50:E50"/>
    <mergeCell ref="A47:E47"/>
    <mergeCell ref="A51:G51"/>
    <mergeCell ref="A57:E57"/>
    <mergeCell ref="A58:E58"/>
    <mergeCell ref="A62:G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MALLICK</dc:creator>
  <cp:lastModifiedBy>MALLICK</cp:lastModifiedBy>
  <cp:lastPrinted>2026-02-27T15:00:04Z</cp:lastPrinted>
  <dcterms:created xsi:type="dcterms:W3CDTF">2026-02-27T13:08:36Z</dcterms:created>
  <dcterms:modified xsi:type="dcterms:W3CDTF">2026-04-10T15:41:41Z</dcterms:modified>
</cp:coreProperties>
</file>